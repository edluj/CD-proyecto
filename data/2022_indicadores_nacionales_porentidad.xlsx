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octavio.garcia\Desktop\mgb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  <c r="C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L37" i="1" l="1"/>
  <c r="J37" i="1"/>
  <c r="H37" i="1"/>
  <c r="F37" i="1"/>
  <c r="D37" i="1"/>
  <c r="C37" i="1"/>
  <c r="B37" i="1"/>
</calcChain>
</file>

<file path=xl/sharedStrings.xml><?xml version="1.0" encoding="utf-8"?>
<sst xmlns="http://schemas.openxmlformats.org/spreadsheetml/2006/main" count="49" uniqueCount="49">
  <si>
    <t>Entidad Federativa</t>
  </si>
  <si>
    <t>Población</t>
  </si>
  <si>
    <t>Nacimientos</t>
  </si>
  <si>
    <t>Defunciones</t>
  </si>
  <si>
    <t>Muertes Fetales</t>
  </si>
  <si>
    <t>Muertes Maternas</t>
  </si>
  <si>
    <t>Población asegurada</t>
  </si>
  <si>
    <t>SE IGNORA</t>
  </si>
  <si>
    <t>NACIONAL</t>
  </si>
  <si>
    <t>AGS</t>
  </si>
  <si>
    <t>BC</t>
  </si>
  <si>
    <t>BCS</t>
  </si>
  <si>
    <t>CAMP</t>
  </si>
  <si>
    <t>COAH</t>
  </si>
  <si>
    <t>COL</t>
  </si>
  <si>
    <t>CHIS</t>
  </si>
  <si>
    <t>CHI</t>
  </si>
  <si>
    <t>CDMX</t>
  </si>
  <si>
    <t>DGO</t>
  </si>
  <si>
    <t>GTO</t>
  </si>
  <si>
    <t>GRO</t>
  </si>
  <si>
    <t>HGO</t>
  </si>
  <si>
    <t>JAL</t>
  </si>
  <si>
    <t>MEX</t>
  </si>
  <si>
    <t>MICH</t>
  </si>
  <si>
    <t>MOR</t>
  </si>
  <si>
    <t>NAY</t>
  </si>
  <si>
    <t>NL</t>
  </si>
  <si>
    <t>OAX</t>
  </si>
  <si>
    <t>PUE</t>
  </si>
  <si>
    <t>QRO</t>
  </si>
  <si>
    <t>QROO</t>
  </si>
  <si>
    <t>SLP</t>
  </si>
  <si>
    <t>SIN</t>
  </si>
  <si>
    <t>SON</t>
  </si>
  <si>
    <t>TAB</t>
  </si>
  <si>
    <t>TAMP</t>
  </si>
  <si>
    <t>TLAX</t>
  </si>
  <si>
    <t>VER</t>
  </si>
  <si>
    <t>YUC</t>
  </si>
  <si>
    <t>ZAC</t>
  </si>
  <si>
    <t>NA</t>
  </si>
  <si>
    <t>NE</t>
  </si>
  <si>
    <t>Población %</t>
  </si>
  <si>
    <t>Nacimientos %</t>
  </si>
  <si>
    <t>Defunciones %</t>
  </si>
  <si>
    <t>Muertes Fetales %</t>
  </si>
  <si>
    <t>Muertes Maternas %</t>
  </si>
  <si>
    <t>Población asegurada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</si>
</sst>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#,##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"/>
    </font>
    <font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  <fill>
      <patternFill patternType="solid">
        <fgColor rgb="FFD4C1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ill="1"/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/>
    </xf>
    <xf numFmtId="164" fontId="4" fillId="3" borderId="1" xfId="1" applyNumberFormat="1" applyFont="1" applyFill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4" fontId="4" fillId="3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top" wrapText="1"/>
    </xf>
    <xf numFmtId="165" fontId="4" fillId="3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zoomScale="80" zoomScaleNormal="80" workbookViewId="0"/>
  </sheetViews>
  <sheetFormatPr baseColWidth="10" defaultRowHeight="15"/>
  <cols>
    <col min="1" max="1" width="18.140625" style="13" customWidth="1"/>
    <col min="2" max="2" width="21" style="2" customWidth="1"/>
    <col min="3" max="3" width="15.42578125" customWidth="1"/>
    <col min="4" max="4" width="14.42578125" bestFit="1" customWidth="1"/>
    <col min="5" max="5" width="17.42578125" customWidth="1"/>
    <col min="6" max="6" width="13.42578125" bestFit="1" customWidth="1"/>
    <col min="7" max="7" width="18.7109375" customWidth="1"/>
    <col min="8" max="8" width="13.42578125" bestFit="1" customWidth="1"/>
    <col min="10" max="10" width="12.7109375" bestFit="1" customWidth="1"/>
    <col min="11" max="11" width="14.7109375" customWidth="1"/>
    <col min="12" max="12" width="12.42578125" customWidth="1"/>
    <col min="13" max="13" width="16.140625" customWidth="1"/>
  </cols>
  <sheetData>
    <row r="1" spans="1:13" ht="28.5">
      <c r="A1" s="3" t="s">
        <v>0</v>
      </c>
      <c r="B1" s="4" t="s">
        <v>1</v>
      </c>
      <c r="C1" s="4" t="s">
        <v>43</v>
      </c>
      <c r="D1" s="10" t="s">
        <v>2</v>
      </c>
      <c r="E1" s="4" t="s">
        <v>44</v>
      </c>
      <c r="F1" s="10" t="s">
        <v>3</v>
      </c>
      <c r="G1" s="4" t="s">
        <v>45</v>
      </c>
      <c r="H1" s="4" t="s">
        <v>4</v>
      </c>
      <c r="I1" s="4" t="s">
        <v>46</v>
      </c>
      <c r="J1" s="4" t="s">
        <v>5</v>
      </c>
      <c r="K1" s="4" t="s">
        <v>47</v>
      </c>
      <c r="L1" s="4" t="s">
        <v>6</v>
      </c>
      <c r="M1" s="4" t="s">
        <v>48</v>
      </c>
    </row>
    <row r="2" spans="1:13">
      <c r="A2" s="12" t="s">
        <v>9</v>
      </c>
      <c r="B2" s="5">
        <v>1491126</v>
      </c>
      <c r="C2" s="8">
        <f>(B2/SUM($B$2:$B$36)*100)</f>
        <v>1.1473677406844844</v>
      </c>
      <c r="D2" s="5">
        <v>19701</v>
      </c>
      <c r="E2" s="8">
        <f>D2/SUM($D$2:$D$36)*100</f>
        <v>1.2139223042896112</v>
      </c>
      <c r="F2" s="5">
        <v>8081</v>
      </c>
      <c r="G2" s="8">
        <f>F2/SUM($F$2:$F$36)*100</f>
        <v>0.95326736784489152</v>
      </c>
      <c r="H2" s="5">
        <v>361</v>
      </c>
      <c r="I2" s="8">
        <f>H2/SUM($H$2:$H$36)*100</f>
        <v>1.4416357174234258</v>
      </c>
      <c r="J2" s="5">
        <v>2</v>
      </c>
      <c r="K2" s="8">
        <f>J2/SUM($J$2:$J$36)*100</f>
        <v>0.29498525073746312</v>
      </c>
      <c r="L2" s="5">
        <v>805752</v>
      </c>
      <c r="M2" s="8">
        <f>L2/SUM($L$2:$L$36)*100</f>
        <v>1.3559713142982079</v>
      </c>
    </row>
    <row r="3" spans="1:13">
      <c r="A3" s="12" t="s">
        <v>10</v>
      </c>
      <c r="B3" s="5">
        <v>3948201</v>
      </c>
      <c r="C3" s="8">
        <f t="shared" ref="C3:C36" si="0">(B3/SUM($B$2:$B$36)*100)</f>
        <v>3.0379984395270565</v>
      </c>
      <c r="D3" s="5">
        <v>43651</v>
      </c>
      <c r="E3" s="8">
        <f t="shared" ref="E3:E36" si="1">D3/SUM($D$2:$D$36)*100</f>
        <v>2.6896564897490389</v>
      </c>
      <c r="F3" s="5">
        <v>24693</v>
      </c>
      <c r="G3" s="8">
        <f t="shared" ref="G3:G36" si="2">F3/SUM($F$2:$F$36)*100</f>
        <v>2.9128859193409116</v>
      </c>
      <c r="H3" s="5">
        <v>672</v>
      </c>
      <c r="I3" s="8">
        <f t="shared" ref="I3:I36" si="3">H3/SUM($H$2:$H$36)*100</f>
        <v>2.6835988978075953</v>
      </c>
      <c r="J3" s="5">
        <v>25</v>
      </c>
      <c r="K3" s="8">
        <f t="shared" ref="K3:K36" si="4">J3/SUM($J$2:$J$36)*100</f>
        <v>3.6873156342182889</v>
      </c>
      <c r="L3" s="5">
        <v>2336059</v>
      </c>
      <c r="M3" s="8">
        <f t="shared" ref="M3:M36" si="5">L3/SUM($L$2:$L$36)*100</f>
        <v>3.9312704064130863</v>
      </c>
    </row>
    <row r="4" spans="1:13">
      <c r="A4" s="12" t="s">
        <v>11</v>
      </c>
      <c r="B4" s="5">
        <v>849224</v>
      </c>
      <c r="C4" s="8">
        <f t="shared" si="0"/>
        <v>0.65344727555890014</v>
      </c>
      <c r="D4" s="5">
        <v>10539</v>
      </c>
      <c r="E4" s="8">
        <f t="shared" si="1"/>
        <v>0.64938465889590435</v>
      </c>
      <c r="F4" s="5">
        <v>4302</v>
      </c>
      <c r="G4" s="8">
        <f t="shared" si="2"/>
        <v>0.50748127910762564</v>
      </c>
      <c r="H4" s="5">
        <v>139</v>
      </c>
      <c r="I4" s="8">
        <f t="shared" si="3"/>
        <v>0.5550896529691306</v>
      </c>
      <c r="J4" s="5">
        <v>2</v>
      </c>
      <c r="K4" s="8">
        <f t="shared" si="4"/>
        <v>0.29498525073746312</v>
      </c>
      <c r="L4" s="5">
        <v>511956</v>
      </c>
      <c r="M4" s="8">
        <f t="shared" si="5"/>
        <v>0.86155250025175645</v>
      </c>
    </row>
    <row r="5" spans="1:13">
      <c r="A5" s="12" t="s">
        <v>12</v>
      </c>
      <c r="B5" s="5">
        <v>945445</v>
      </c>
      <c r="C5" s="8">
        <f t="shared" si="0"/>
        <v>0.72748586879408061</v>
      </c>
      <c r="D5" s="5">
        <v>12284</v>
      </c>
      <c r="E5" s="8">
        <f t="shared" si="1"/>
        <v>0.7569068365003595</v>
      </c>
      <c r="F5" s="5">
        <v>5687</v>
      </c>
      <c r="G5" s="8">
        <f t="shared" si="2"/>
        <v>0.67086146775571065</v>
      </c>
      <c r="H5" s="5">
        <v>146</v>
      </c>
      <c r="I5" s="8">
        <f t="shared" si="3"/>
        <v>0.58304380815462642</v>
      </c>
      <c r="J5" s="5">
        <v>3</v>
      </c>
      <c r="K5" s="8">
        <f t="shared" si="4"/>
        <v>0.44247787610619471</v>
      </c>
      <c r="L5" s="5">
        <v>495879</v>
      </c>
      <c r="M5" s="8">
        <f t="shared" si="5"/>
        <v>0.83449709012559814</v>
      </c>
    </row>
    <row r="6" spans="1:13">
      <c r="A6" s="12" t="s">
        <v>13</v>
      </c>
      <c r="B6" s="5">
        <v>3273658</v>
      </c>
      <c r="C6" s="8">
        <f t="shared" si="0"/>
        <v>2.5189619007606923</v>
      </c>
      <c r="D6" s="5">
        <v>43172</v>
      </c>
      <c r="E6" s="8">
        <f t="shared" si="1"/>
        <v>2.6601418060398503</v>
      </c>
      <c r="F6" s="5">
        <v>21209</v>
      </c>
      <c r="G6" s="8">
        <f t="shared" si="2"/>
        <v>2.501899220965512</v>
      </c>
      <c r="H6" s="5">
        <v>634</v>
      </c>
      <c r="I6" s="8">
        <f t="shared" si="3"/>
        <v>2.5318477696577615</v>
      </c>
      <c r="J6" s="5">
        <v>15</v>
      </c>
      <c r="K6" s="8">
        <f t="shared" si="4"/>
        <v>2.2123893805309733</v>
      </c>
      <c r="L6" s="5">
        <v>2316568</v>
      </c>
      <c r="M6" s="8">
        <f t="shared" si="5"/>
        <v>3.8984696974021418</v>
      </c>
    </row>
    <row r="7" spans="1:13">
      <c r="A7" s="12" t="s">
        <v>14</v>
      </c>
      <c r="B7" s="5">
        <v>752247</v>
      </c>
      <c r="C7" s="8">
        <f t="shared" si="0"/>
        <v>0.57882696755785989</v>
      </c>
      <c r="D7" s="5">
        <v>8706</v>
      </c>
      <c r="E7" s="8">
        <f t="shared" si="1"/>
        <v>0.53644015944090939</v>
      </c>
      <c r="F7" s="5">
        <v>5683</v>
      </c>
      <c r="G7" s="8">
        <f t="shared" si="2"/>
        <v>0.67038961161521082</v>
      </c>
      <c r="H7" s="5">
        <v>149</v>
      </c>
      <c r="I7" s="8">
        <f t="shared" si="3"/>
        <v>0.59502416037698169</v>
      </c>
      <c r="J7" s="5">
        <v>2</v>
      </c>
      <c r="K7" s="8">
        <f t="shared" si="4"/>
        <v>0.29498525073746312</v>
      </c>
      <c r="L7" s="5">
        <v>458569</v>
      </c>
      <c r="M7" s="8">
        <f t="shared" si="5"/>
        <v>0.77170942129391529</v>
      </c>
    </row>
    <row r="8" spans="1:13">
      <c r="A8" s="12" t="s">
        <v>15</v>
      </c>
      <c r="B8" s="5">
        <v>3898274</v>
      </c>
      <c r="C8" s="8">
        <f t="shared" si="0"/>
        <v>2.9995814115970529</v>
      </c>
      <c r="D8" s="5">
        <v>87692</v>
      </c>
      <c r="E8" s="8">
        <f t="shared" si="1"/>
        <v>5.4033437240629709</v>
      </c>
      <c r="F8" s="5">
        <v>31706</v>
      </c>
      <c r="G8" s="8">
        <f t="shared" si="2"/>
        <v>3.7401676976723337</v>
      </c>
      <c r="H8" s="5">
        <v>1363</v>
      </c>
      <c r="I8" s="8">
        <f t="shared" si="3"/>
        <v>5.443073359690108</v>
      </c>
      <c r="J8" s="5">
        <v>41</v>
      </c>
      <c r="K8" s="8">
        <f t="shared" si="4"/>
        <v>6.0471976401179939</v>
      </c>
      <c r="L8" s="5">
        <v>1300731</v>
      </c>
      <c r="M8" s="8">
        <f t="shared" si="5"/>
        <v>2.188953826510418</v>
      </c>
    </row>
    <row r="9" spans="1:13">
      <c r="A9" s="12" t="s">
        <v>16</v>
      </c>
      <c r="B9" s="5">
        <v>5862882</v>
      </c>
      <c r="C9" s="8">
        <f t="shared" si="0"/>
        <v>4.5112764945683539</v>
      </c>
      <c r="D9" s="5">
        <v>47348</v>
      </c>
      <c r="E9" s="8">
        <f t="shared" si="1"/>
        <v>2.917455624765469</v>
      </c>
      <c r="F9" s="5">
        <v>28824</v>
      </c>
      <c r="G9" s="8">
        <f t="shared" si="2"/>
        <v>3.4001953484421672</v>
      </c>
      <c r="H9" s="5">
        <v>802</v>
      </c>
      <c r="I9" s="8">
        <f t="shared" si="3"/>
        <v>3.2027474941096603</v>
      </c>
      <c r="J9" s="5">
        <v>32</v>
      </c>
      <c r="K9" s="8">
        <f t="shared" si="4"/>
        <v>4.71976401179941</v>
      </c>
      <c r="L9" s="5">
        <v>2319413</v>
      </c>
      <c r="M9" s="8">
        <f t="shared" si="5"/>
        <v>3.9032574464727974</v>
      </c>
    </row>
    <row r="10" spans="1:13">
      <c r="A10" s="12" t="s">
        <v>17</v>
      </c>
      <c r="B10" s="5">
        <v>9237644</v>
      </c>
      <c r="C10" s="8">
        <f t="shared" si="0"/>
        <v>7.1080342811590587</v>
      </c>
      <c r="D10" s="5">
        <v>80892</v>
      </c>
      <c r="E10" s="8">
        <f t="shared" si="1"/>
        <v>4.9843461265212534</v>
      </c>
      <c r="F10" s="5">
        <v>69455</v>
      </c>
      <c r="G10" s="8">
        <f t="shared" si="2"/>
        <v>8.1931920596048666</v>
      </c>
      <c r="H10" s="5">
        <v>1939</v>
      </c>
      <c r="I10" s="8">
        <f t="shared" si="3"/>
        <v>7.7433009863823328</v>
      </c>
      <c r="J10" s="5">
        <v>29</v>
      </c>
      <c r="K10" s="8">
        <f t="shared" si="4"/>
        <v>4.277286135693215</v>
      </c>
      <c r="L10" s="5">
        <v>5121074</v>
      </c>
      <c r="M10" s="8">
        <f t="shared" si="5"/>
        <v>8.6180728591407529</v>
      </c>
    </row>
    <row r="11" spans="1:13">
      <c r="A11" s="12" t="s">
        <v>18</v>
      </c>
      <c r="B11" s="5">
        <v>1884286</v>
      </c>
      <c r="C11" s="8">
        <f t="shared" si="0"/>
        <v>1.449890197490624</v>
      </c>
      <c r="D11" s="5">
        <v>27020</v>
      </c>
      <c r="E11" s="8">
        <f t="shared" si="1"/>
        <v>1.6648992772907614</v>
      </c>
      <c r="F11" s="5">
        <v>11710</v>
      </c>
      <c r="G11" s="8">
        <f t="shared" si="2"/>
        <v>1.3813588513134114</v>
      </c>
      <c r="H11" s="5">
        <v>437</v>
      </c>
      <c r="I11" s="8">
        <f t="shared" si="3"/>
        <v>1.7451379737230943</v>
      </c>
      <c r="J11" s="5">
        <v>19</v>
      </c>
      <c r="K11" s="8">
        <f t="shared" si="4"/>
        <v>2.8023598820058995</v>
      </c>
      <c r="L11" s="5">
        <v>1030938</v>
      </c>
      <c r="M11" s="8">
        <f t="shared" si="5"/>
        <v>1.7349288054140304</v>
      </c>
    </row>
    <row r="12" spans="1:13">
      <c r="A12" s="12" t="s">
        <v>19</v>
      </c>
      <c r="B12" s="5">
        <v>6360814</v>
      </c>
      <c r="C12" s="8">
        <f t="shared" si="0"/>
        <v>4.894417231068493</v>
      </c>
      <c r="D12" s="5">
        <v>88531</v>
      </c>
      <c r="E12" s="8">
        <f t="shared" si="1"/>
        <v>5.4550406335243675</v>
      </c>
      <c r="F12" s="5">
        <v>42867</v>
      </c>
      <c r="G12" s="8">
        <f t="shared" si="2"/>
        <v>5.0567642937021358</v>
      </c>
      <c r="H12" s="5">
        <v>1562</v>
      </c>
      <c r="I12" s="8">
        <f t="shared" si="3"/>
        <v>6.2377700571063457</v>
      </c>
      <c r="J12" s="5">
        <v>28</v>
      </c>
      <c r="K12" s="8">
        <f t="shared" si="4"/>
        <v>4.1297935103244834</v>
      </c>
      <c r="L12" s="5">
        <v>2568392</v>
      </c>
      <c r="M12" s="8">
        <f t="shared" si="5"/>
        <v>4.322255329025559</v>
      </c>
    </row>
    <row r="13" spans="1:13">
      <c r="A13" s="12" t="s">
        <v>20</v>
      </c>
      <c r="B13" s="5">
        <v>3599951</v>
      </c>
      <c r="C13" s="8">
        <f t="shared" si="0"/>
        <v>2.770032609883303</v>
      </c>
      <c r="D13" s="5">
        <v>51827</v>
      </c>
      <c r="E13" s="8">
        <f t="shared" si="1"/>
        <v>3.1934394834991968</v>
      </c>
      <c r="F13" s="5">
        <v>20619</v>
      </c>
      <c r="G13" s="8">
        <f t="shared" si="2"/>
        <v>2.4323004402417792</v>
      </c>
      <c r="H13" s="5">
        <v>507</v>
      </c>
      <c r="I13" s="8">
        <f t="shared" si="3"/>
        <v>2.0246795255780521</v>
      </c>
      <c r="J13" s="5">
        <v>33</v>
      </c>
      <c r="K13" s="8">
        <f t="shared" si="4"/>
        <v>4.8672566371681416</v>
      </c>
      <c r="L13" s="5">
        <v>858921</v>
      </c>
      <c r="M13" s="8">
        <f t="shared" si="5"/>
        <v>1.4454475288281394</v>
      </c>
    </row>
    <row r="14" spans="1:13">
      <c r="A14" s="12" t="s">
        <v>21</v>
      </c>
      <c r="B14" s="5">
        <v>3190331</v>
      </c>
      <c r="C14" s="8">
        <f t="shared" si="0"/>
        <v>2.4548447760321208</v>
      </c>
      <c r="D14" s="5">
        <v>35695</v>
      </c>
      <c r="E14" s="8">
        <f t="shared" si="1"/>
        <v>2.1994293006252308</v>
      </c>
      <c r="F14" s="5">
        <v>18575</v>
      </c>
      <c r="G14" s="8">
        <f t="shared" si="2"/>
        <v>2.1911819524463381</v>
      </c>
      <c r="H14" s="5">
        <v>493</v>
      </c>
      <c r="I14" s="8">
        <f t="shared" si="3"/>
        <v>1.9687712152070607</v>
      </c>
      <c r="J14" s="5">
        <v>13</v>
      </c>
      <c r="K14" s="8">
        <f t="shared" si="4"/>
        <v>1.9174041297935103</v>
      </c>
      <c r="L14" s="5">
        <v>1074272</v>
      </c>
      <c r="M14" s="8">
        <f t="shared" si="5"/>
        <v>1.8078540490793251</v>
      </c>
    </row>
    <row r="15" spans="1:13" s="1" customFormat="1">
      <c r="A15" s="12" t="s">
        <v>22</v>
      </c>
      <c r="B15" s="5">
        <v>8647986</v>
      </c>
      <c r="C15" s="8">
        <f t="shared" si="0"/>
        <v>6.6543136919958821</v>
      </c>
      <c r="D15" s="5">
        <v>110551</v>
      </c>
      <c r="E15" s="8">
        <f t="shared" si="1"/>
        <v>6.8118534420344545</v>
      </c>
      <c r="F15" s="5">
        <v>56388</v>
      </c>
      <c r="G15" s="8">
        <f t="shared" si="2"/>
        <v>6.6517560126268709</v>
      </c>
      <c r="H15" s="5">
        <v>1600</v>
      </c>
      <c r="I15" s="8">
        <f t="shared" si="3"/>
        <v>6.3895211852561795</v>
      </c>
      <c r="J15" s="5">
        <v>45</v>
      </c>
      <c r="K15" s="8">
        <f t="shared" si="4"/>
        <v>6.6371681415929213</v>
      </c>
      <c r="L15" s="5">
        <v>4404274</v>
      </c>
      <c r="M15" s="8">
        <f t="shared" si="5"/>
        <v>7.4117956943444447</v>
      </c>
    </row>
    <row r="16" spans="1:13" s="1" customFormat="1">
      <c r="A16" s="12" t="s">
        <v>23</v>
      </c>
      <c r="B16" s="5">
        <v>17379644</v>
      </c>
      <c r="C16" s="8">
        <f t="shared" si="0"/>
        <v>13.373009973792058</v>
      </c>
      <c r="D16" s="5">
        <v>198535</v>
      </c>
      <c r="E16" s="8">
        <f t="shared" si="1"/>
        <v>12.233189415874216</v>
      </c>
      <c r="F16" s="5">
        <v>100734</v>
      </c>
      <c r="G16" s="8">
        <f t="shared" si="2"/>
        <v>11.882989114278839</v>
      </c>
      <c r="H16" s="5">
        <v>4542</v>
      </c>
      <c r="I16" s="8">
        <f t="shared" si="3"/>
        <v>18.138253264645982</v>
      </c>
      <c r="J16" s="5">
        <v>70</v>
      </c>
      <c r="K16" s="8">
        <f t="shared" si="4"/>
        <v>10.32448377581121</v>
      </c>
      <c r="L16" s="5">
        <v>7928695</v>
      </c>
      <c r="M16" s="8">
        <f t="shared" si="5"/>
        <v>13.342918143324036</v>
      </c>
    </row>
    <row r="17" spans="1:13">
      <c r="A17" s="12" t="s">
        <v>24</v>
      </c>
      <c r="B17" s="5">
        <v>4901506</v>
      </c>
      <c r="C17" s="8">
        <f t="shared" si="0"/>
        <v>3.7715322951725367</v>
      </c>
      <c r="D17" s="5">
        <v>72169</v>
      </c>
      <c r="E17" s="8">
        <f t="shared" si="1"/>
        <v>4.4468584730864897</v>
      </c>
      <c r="F17" s="5">
        <v>32822</v>
      </c>
      <c r="G17" s="8">
        <f t="shared" si="2"/>
        <v>3.8718155608718012</v>
      </c>
      <c r="H17" s="5">
        <v>711</v>
      </c>
      <c r="I17" s="8">
        <f t="shared" si="3"/>
        <v>2.8393434766982151</v>
      </c>
      <c r="J17" s="5">
        <v>30</v>
      </c>
      <c r="K17" s="8">
        <f t="shared" si="4"/>
        <v>4.4247787610619467</v>
      </c>
      <c r="L17" s="5">
        <v>1596767</v>
      </c>
      <c r="M17" s="8">
        <f t="shared" si="5"/>
        <v>2.6871422566968577</v>
      </c>
    </row>
    <row r="18" spans="1:13">
      <c r="A18" s="12" t="s">
        <v>25</v>
      </c>
      <c r="B18" s="5">
        <v>2017078</v>
      </c>
      <c r="C18" s="8">
        <f t="shared" si="0"/>
        <v>1.5520688577922848</v>
      </c>
      <c r="D18" s="5">
        <v>24055</v>
      </c>
      <c r="E18" s="8">
        <f t="shared" si="1"/>
        <v>1.482204001303822</v>
      </c>
      <c r="F18" s="5">
        <v>15897</v>
      </c>
      <c r="G18" s="8">
        <f t="shared" si="2"/>
        <v>1.8752742663816657</v>
      </c>
      <c r="H18" s="5">
        <v>428</v>
      </c>
      <c r="I18" s="8">
        <f t="shared" si="3"/>
        <v>1.7091969170560279</v>
      </c>
      <c r="J18" s="5">
        <v>5</v>
      </c>
      <c r="K18" s="8">
        <f t="shared" si="4"/>
        <v>0.73746312684365778</v>
      </c>
      <c r="L18" s="5">
        <v>857298</v>
      </c>
      <c r="M18" s="8">
        <f t="shared" si="5"/>
        <v>1.4427162399909959</v>
      </c>
    </row>
    <row r="19" spans="1:13">
      <c r="A19" s="12" t="s">
        <v>26</v>
      </c>
      <c r="B19" s="5">
        <v>1278605</v>
      </c>
      <c r="C19" s="8">
        <f t="shared" si="0"/>
        <v>0.98384048703991822</v>
      </c>
      <c r="D19" s="5">
        <v>16104</v>
      </c>
      <c r="E19" s="8">
        <f t="shared" si="1"/>
        <v>0.99228489864879432</v>
      </c>
      <c r="F19" s="5">
        <v>7740</v>
      </c>
      <c r="G19" s="8">
        <f t="shared" si="2"/>
        <v>0.91304163186727627</v>
      </c>
      <c r="H19" s="5">
        <v>238</v>
      </c>
      <c r="I19" s="8">
        <f t="shared" si="3"/>
        <v>0.95044127630685671</v>
      </c>
      <c r="J19" s="5">
        <v>11</v>
      </c>
      <c r="K19" s="8">
        <f t="shared" si="4"/>
        <v>1.6224188790560472</v>
      </c>
      <c r="L19" s="5">
        <v>626101</v>
      </c>
      <c r="M19" s="8">
        <f t="shared" si="5"/>
        <v>1.0536430512780883</v>
      </c>
    </row>
    <row r="20" spans="1:13">
      <c r="A20" s="12" t="s">
        <v>27</v>
      </c>
      <c r="B20" s="5">
        <v>6095498</v>
      </c>
      <c r="C20" s="8">
        <f t="shared" si="0"/>
        <v>4.6902661268107408</v>
      </c>
      <c r="D20" s="5">
        <v>73136</v>
      </c>
      <c r="E20" s="8">
        <f t="shared" si="1"/>
        <v>4.5064423961486728</v>
      </c>
      <c r="F20" s="5">
        <v>38134</v>
      </c>
      <c r="G20" s="8">
        <f t="shared" si="2"/>
        <v>4.4984405154556475</v>
      </c>
      <c r="H20" s="5">
        <v>1230</v>
      </c>
      <c r="I20" s="8">
        <f t="shared" si="3"/>
        <v>4.9119444111656883</v>
      </c>
      <c r="J20" s="5">
        <v>32</v>
      </c>
      <c r="K20" s="8">
        <f t="shared" si="4"/>
        <v>4.71976401179941</v>
      </c>
      <c r="L20" s="5">
        <v>4006650</v>
      </c>
      <c r="M20" s="8">
        <f t="shared" si="5"/>
        <v>6.7426484407521361</v>
      </c>
    </row>
    <row r="21" spans="1:13">
      <c r="A21" s="12" t="s">
        <v>28</v>
      </c>
      <c r="B21" s="5">
        <v>4244538</v>
      </c>
      <c r="C21" s="8">
        <f t="shared" si="0"/>
        <v>3.2660190857844604</v>
      </c>
      <c r="D21" s="5">
        <v>57037</v>
      </c>
      <c r="E21" s="8">
        <f t="shared" si="1"/>
        <v>3.5144655839686587</v>
      </c>
      <c r="F21" s="5">
        <v>30078</v>
      </c>
      <c r="G21" s="8">
        <f t="shared" si="2"/>
        <v>3.5481222484888808</v>
      </c>
      <c r="H21" s="5">
        <v>474</v>
      </c>
      <c r="I21" s="8">
        <f t="shared" si="3"/>
        <v>1.8928956511321433</v>
      </c>
      <c r="J21" s="5">
        <v>37</v>
      </c>
      <c r="K21" s="8">
        <f t="shared" si="4"/>
        <v>5.4572271386430682</v>
      </c>
      <c r="L21" s="5">
        <v>1131497</v>
      </c>
      <c r="M21" s="8">
        <f t="shared" si="5"/>
        <v>1.9041559614055932</v>
      </c>
    </row>
    <row r="22" spans="1:13">
      <c r="A22" s="12" t="s">
        <v>29</v>
      </c>
      <c r="B22" s="5">
        <v>6824785</v>
      </c>
      <c r="C22" s="8">
        <f t="shared" si="0"/>
        <v>5.251426201479525</v>
      </c>
      <c r="D22" s="5">
        <v>101587</v>
      </c>
      <c r="E22" s="8">
        <f t="shared" si="1"/>
        <v>6.2595160208044636</v>
      </c>
      <c r="F22" s="5">
        <v>44050</v>
      </c>
      <c r="G22" s="8">
        <f t="shared" si="2"/>
        <v>5.1963157472549764</v>
      </c>
      <c r="H22" s="5">
        <v>1364</v>
      </c>
      <c r="I22" s="8">
        <f t="shared" si="3"/>
        <v>5.4470668104308935</v>
      </c>
      <c r="J22" s="5">
        <v>41</v>
      </c>
      <c r="K22" s="8">
        <f t="shared" si="4"/>
        <v>6.0471976401179939</v>
      </c>
      <c r="L22" s="5">
        <v>1973085</v>
      </c>
      <c r="M22" s="8">
        <f t="shared" si="5"/>
        <v>3.3204344024862236</v>
      </c>
    </row>
    <row r="23" spans="1:13">
      <c r="A23" s="12" t="s">
        <v>30</v>
      </c>
      <c r="B23" s="5">
        <v>2508214</v>
      </c>
      <c r="C23" s="8">
        <f t="shared" si="0"/>
        <v>1.929980317111494</v>
      </c>
      <c r="D23" s="5">
        <v>31946</v>
      </c>
      <c r="E23" s="8">
        <f t="shared" si="1"/>
        <v>1.9684260663334814</v>
      </c>
      <c r="F23" s="5">
        <v>13551</v>
      </c>
      <c r="G23" s="8">
        <f t="shared" si="2"/>
        <v>1.5985306399784835</v>
      </c>
      <c r="H23" s="5">
        <v>438</v>
      </c>
      <c r="I23" s="8">
        <f t="shared" si="3"/>
        <v>1.7491314244638794</v>
      </c>
      <c r="J23" s="5">
        <v>8</v>
      </c>
      <c r="K23" s="8">
        <f t="shared" si="4"/>
        <v>1.1799410029498525</v>
      </c>
      <c r="L23" s="5">
        <v>1238893</v>
      </c>
      <c r="M23" s="8">
        <f t="shared" si="5"/>
        <v>2.0848888609458611</v>
      </c>
    </row>
    <row r="24" spans="1:13">
      <c r="A24" s="12" t="s">
        <v>31</v>
      </c>
      <c r="B24" s="5">
        <v>1977161</v>
      </c>
      <c r="C24" s="8">
        <f t="shared" si="0"/>
        <v>1.5213541642620918</v>
      </c>
      <c r="D24" s="5">
        <v>23784</v>
      </c>
      <c r="E24" s="8">
        <f t="shared" si="1"/>
        <v>1.4655057146959094</v>
      </c>
      <c r="F24" s="5">
        <v>8691</v>
      </c>
      <c r="G24" s="8">
        <f t="shared" si="2"/>
        <v>1.0252254292711238</v>
      </c>
      <c r="H24" s="5">
        <v>247</v>
      </c>
      <c r="I24" s="8">
        <f t="shared" si="3"/>
        <v>0.98638233297392275</v>
      </c>
      <c r="J24" s="5">
        <v>8</v>
      </c>
      <c r="K24" s="8">
        <f t="shared" si="4"/>
        <v>1.1799410029498525</v>
      </c>
      <c r="L24" s="5">
        <v>1048635</v>
      </c>
      <c r="M24" s="8">
        <f t="shared" si="5"/>
        <v>1.7647104557842876</v>
      </c>
    </row>
    <row r="25" spans="1:13">
      <c r="A25" s="12" t="s">
        <v>32</v>
      </c>
      <c r="B25" s="5">
        <v>2905759</v>
      </c>
      <c r="C25" s="8">
        <f t="shared" si="0"/>
        <v>2.2358768734524155</v>
      </c>
      <c r="D25" s="5">
        <v>40292</v>
      </c>
      <c r="E25" s="8">
        <f t="shared" si="1"/>
        <v>2.4826840000221821</v>
      </c>
      <c r="F25" s="5">
        <v>20328</v>
      </c>
      <c r="G25" s="8">
        <f t="shared" si="2"/>
        <v>2.3979729060204127</v>
      </c>
      <c r="H25" s="5">
        <v>750</v>
      </c>
      <c r="I25" s="8">
        <f t="shared" si="3"/>
        <v>2.995088055588834</v>
      </c>
      <c r="J25" s="5">
        <v>15</v>
      </c>
      <c r="K25" s="8">
        <f t="shared" si="4"/>
        <v>2.2123893805309733</v>
      </c>
      <c r="L25" s="5">
        <v>1319647</v>
      </c>
      <c r="M25" s="8">
        <f t="shared" si="5"/>
        <v>2.2207868885211419</v>
      </c>
    </row>
    <row r="26" spans="1:13">
      <c r="A26" s="12" t="s">
        <v>33</v>
      </c>
      <c r="B26" s="5">
        <v>3118470</v>
      </c>
      <c r="C26" s="8">
        <f t="shared" si="0"/>
        <v>2.3995503252524224</v>
      </c>
      <c r="D26" s="5">
        <v>39118</v>
      </c>
      <c r="E26" s="8">
        <f t="shared" si="1"/>
        <v>2.4103452971524799</v>
      </c>
      <c r="F26" s="5">
        <v>17468</v>
      </c>
      <c r="G26" s="8">
        <f t="shared" si="2"/>
        <v>2.060595765562995</v>
      </c>
      <c r="H26" s="5">
        <v>360</v>
      </c>
      <c r="I26" s="8">
        <f t="shared" si="3"/>
        <v>1.4376422666826405</v>
      </c>
      <c r="J26" s="5">
        <v>8</v>
      </c>
      <c r="K26" s="8">
        <f t="shared" si="4"/>
        <v>1.1799410029498525</v>
      </c>
      <c r="L26" s="5">
        <v>1785478</v>
      </c>
      <c r="M26" s="8">
        <f t="shared" si="5"/>
        <v>3.004717270711752</v>
      </c>
    </row>
    <row r="27" spans="1:13">
      <c r="A27" s="12" t="s">
        <v>34</v>
      </c>
      <c r="B27" s="5">
        <v>3051188</v>
      </c>
      <c r="C27" s="8">
        <f t="shared" si="0"/>
        <v>2.3477792500188519</v>
      </c>
      <c r="D27" s="5">
        <v>33996</v>
      </c>
      <c r="E27" s="8">
        <f t="shared" si="1"/>
        <v>2.0947415185335578</v>
      </c>
      <c r="F27" s="5">
        <v>21721</v>
      </c>
      <c r="G27" s="8">
        <f t="shared" si="2"/>
        <v>2.5622968069494974</v>
      </c>
      <c r="H27" s="5">
        <v>564</v>
      </c>
      <c r="I27" s="8">
        <f t="shared" si="3"/>
        <v>2.2523062178028033</v>
      </c>
      <c r="J27" s="5">
        <v>14</v>
      </c>
      <c r="K27" s="8">
        <f t="shared" si="4"/>
        <v>2.0648967551622417</v>
      </c>
      <c r="L27" s="5">
        <v>1914586</v>
      </c>
      <c r="M27" s="8">
        <f t="shared" si="5"/>
        <v>3.2219885209803372</v>
      </c>
    </row>
    <row r="28" spans="1:13">
      <c r="A28" s="12" t="s">
        <v>35</v>
      </c>
      <c r="B28" s="5">
        <v>2447193</v>
      </c>
      <c r="C28" s="8">
        <f t="shared" si="0"/>
        <v>1.8830268558316905</v>
      </c>
      <c r="D28" s="5">
        <v>34508</v>
      </c>
      <c r="E28" s="8">
        <f t="shared" si="1"/>
        <v>2.1262895729366988</v>
      </c>
      <c r="F28" s="5">
        <v>14988</v>
      </c>
      <c r="G28" s="8">
        <f t="shared" si="2"/>
        <v>1.7680449584530669</v>
      </c>
      <c r="H28" s="5">
        <v>319</v>
      </c>
      <c r="I28" s="8">
        <f t="shared" si="3"/>
        <v>1.2739107863104508</v>
      </c>
      <c r="J28" s="5">
        <v>12</v>
      </c>
      <c r="K28" s="8">
        <f t="shared" si="4"/>
        <v>1.7699115044247788</v>
      </c>
      <c r="L28" s="5">
        <v>959042</v>
      </c>
      <c r="M28" s="8">
        <f t="shared" si="5"/>
        <v>1.6139375902351865</v>
      </c>
    </row>
    <row r="29" spans="1:13">
      <c r="A29" s="12" t="s">
        <v>36</v>
      </c>
      <c r="B29" s="5">
        <v>3652671</v>
      </c>
      <c r="C29" s="8">
        <f t="shared" si="0"/>
        <v>2.8105987506982886</v>
      </c>
      <c r="D29" s="5">
        <v>43347</v>
      </c>
      <c r="E29" s="8">
        <f t="shared" si="1"/>
        <v>2.6709248324471737</v>
      </c>
      <c r="F29" s="5">
        <v>22259</v>
      </c>
      <c r="G29" s="8">
        <f t="shared" si="2"/>
        <v>2.6257614578467319</v>
      </c>
      <c r="H29" s="5">
        <v>583</v>
      </c>
      <c r="I29" s="8">
        <f t="shared" si="3"/>
        <v>2.3281817818777206</v>
      </c>
      <c r="J29" s="5">
        <v>19</v>
      </c>
      <c r="K29" s="8">
        <f t="shared" si="4"/>
        <v>2.8023598820058995</v>
      </c>
      <c r="L29" s="5">
        <v>2093112</v>
      </c>
      <c r="M29" s="8">
        <f t="shared" si="5"/>
        <v>3.5224235616087216</v>
      </c>
    </row>
    <row r="30" spans="1:13">
      <c r="A30" s="12" t="s">
        <v>37</v>
      </c>
      <c r="B30" s="5">
        <v>1395020</v>
      </c>
      <c r="C30" s="8">
        <f t="shared" si="0"/>
        <v>1.0734176358065446</v>
      </c>
      <c r="D30" s="5">
        <v>19574</v>
      </c>
      <c r="E30" s="8">
        <f t="shared" si="1"/>
        <v>1.2060969079825821</v>
      </c>
      <c r="F30" s="5">
        <v>8035</v>
      </c>
      <c r="G30" s="8">
        <f t="shared" si="2"/>
        <v>0.94784102222914279</v>
      </c>
      <c r="H30" s="5">
        <v>265</v>
      </c>
      <c r="I30" s="8">
        <f t="shared" si="3"/>
        <v>1.0582644463080548</v>
      </c>
      <c r="J30" s="5">
        <v>16</v>
      </c>
      <c r="K30" s="8">
        <f t="shared" si="4"/>
        <v>2.359882005899705</v>
      </c>
      <c r="L30" s="5">
        <v>436344</v>
      </c>
      <c r="M30" s="8">
        <f t="shared" si="5"/>
        <v>0.73430776115496732</v>
      </c>
    </row>
    <row r="31" spans="1:13">
      <c r="A31" s="12" t="s">
        <v>38</v>
      </c>
      <c r="B31" s="5">
        <v>8133233</v>
      </c>
      <c r="C31" s="8">
        <f t="shared" si="0"/>
        <v>6.2582298019553617</v>
      </c>
      <c r="D31" s="5">
        <v>93354</v>
      </c>
      <c r="E31" s="8">
        <f t="shared" si="1"/>
        <v>5.7522208413102058</v>
      </c>
      <c r="F31" s="5">
        <v>61555</v>
      </c>
      <c r="G31" s="8">
        <f t="shared" si="2"/>
        <v>7.2612761821175962</v>
      </c>
      <c r="H31" s="5">
        <v>1099</v>
      </c>
      <c r="I31" s="8">
        <f t="shared" si="3"/>
        <v>4.3888023641228386</v>
      </c>
      <c r="J31" s="5">
        <v>47</v>
      </c>
      <c r="K31" s="8">
        <f t="shared" si="4"/>
        <v>6.9321533923303837</v>
      </c>
      <c r="L31" s="5">
        <v>3082317</v>
      </c>
      <c r="M31" s="8">
        <f t="shared" si="5"/>
        <v>5.1871213891789401</v>
      </c>
    </row>
    <row r="32" spans="1:13">
      <c r="A32" s="12" t="s">
        <v>39</v>
      </c>
      <c r="B32" s="5">
        <v>2420401</v>
      </c>
      <c r="C32" s="8">
        <f t="shared" si="0"/>
        <v>1.8624113769865638</v>
      </c>
      <c r="D32" s="5">
        <v>27002</v>
      </c>
      <c r="E32" s="8">
        <f t="shared" si="1"/>
        <v>1.6637901660031513</v>
      </c>
      <c r="F32" s="5">
        <v>15207</v>
      </c>
      <c r="G32" s="8">
        <f t="shared" si="2"/>
        <v>1.7938790821454356</v>
      </c>
      <c r="H32" s="5">
        <v>393</v>
      </c>
      <c r="I32" s="8">
        <f t="shared" si="3"/>
        <v>1.5694261411285493</v>
      </c>
      <c r="J32" s="5">
        <v>9</v>
      </c>
      <c r="K32" s="8">
        <f t="shared" si="4"/>
        <v>1.3274336283185841</v>
      </c>
      <c r="L32" s="5">
        <v>1175988</v>
      </c>
      <c r="M32" s="8">
        <f t="shared" si="5"/>
        <v>1.9790282791217657</v>
      </c>
    </row>
    <row r="33" spans="1:13">
      <c r="A33" s="12" t="s">
        <v>40</v>
      </c>
      <c r="B33" s="5">
        <v>1667567</v>
      </c>
      <c r="C33" s="8">
        <f t="shared" si="0"/>
        <v>1.2831327340747889</v>
      </c>
      <c r="D33" s="5">
        <v>23460</v>
      </c>
      <c r="E33" s="8">
        <f t="shared" si="1"/>
        <v>1.4455417115189217</v>
      </c>
      <c r="F33" s="5">
        <v>12376</v>
      </c>
      <c r="G33" s="8">
        <f t="shared" si="2"/>
        <v>1.4599228987066424</v>
      </c>
      <c r="H33" s="5">
        <v>217</v>
      </c>
      <c r="I33" s="8">
        <f t="shared" si="3"/>
        <v>0.86657881075036935</v>
      </c>
      <c r="J33" s="5">
        <v>7</v>
      </c>
      <c r="K33" s="8">
        <f t="shared" si="4"/>
        <v>1.0324483775811208</v>
      </c>
      <c r="L33" s="5">
        <v>645563</v>
      </c>
      <c r="M33" s="8">
        <f t="shared" si="5"/>
        <v>1.0863949572229346</v>
      </c>
    </row>
    <row r="34" spans="1:13">
      <c r="A34" s="12" t="s">
        <v>41</v>
      </c>
      <c r="B34" s="5">
        <v>0</v>
      </c>
      <c r="C34" s="8">
        <f t="shared" si="0"/>
        <v>0</v>
      </c>
      <c r="D34" s="5">
        <v>943</v>
      </c>
      <c r="E34" s="8">
        <f t="shared" si="1"/>
        <v>5.8105108012035084E-2</v>
      </c>
      <c r="F34" s="5">
        <v>0</v>
      </c>
      <c r="G34" s="8">
        <f t="shared" si="2"/>
        <v>0</v>
      </c>
      <c r="H34" s="5">
        <v>15</v>
      </c>
      <c r="I34" s="8">
        <f t="shared" si="3"/>
        <v>5.9901761111776683E-2</v>
      </c>
      <c r="J34" s="5">
        <v>0</v>
      </c>
      <c r="K34" s="8">
        <f t="shared" si="4"/>
        <v>0</v>
      </c>
      <c r="L34" s="5">
        <v>0</v>
      </c>
      <c r="M34" s="8">
        <f t="shared" si="5"/>
        <v>0</v>
      </c>
    </row>
    <row r="35" spans="1:13">
      <c r="A35" s="12" t="s">
        <v>7</v>
      </c>
      <c r="B35" s="5">
        <v>0</v>
      </c>
      <c r="C35" s="8">
        <f t="shared" si="0"/>
        <v>0</v>
      </c>
      <c r="D35" s="5">
        <v>516</v>
      </c>
      <c r="E35" s="8">
        <f t="shared" si="1"/>
        <v>3.1794523578165541E-2</v>
      </c>
      <c r="F35" s="5">
        <v>0</v>
      </c>
      <c r="G35" s="8">
        <f t="shared" si="2"/>
        <v>0</v>
      </c>
      <c r="H35" s="5">
        <v>0</v>
      </c>
      <c r="I35" s="8">
        <f t="shared" si="3"/>
        <v>0</v>
      </c>
      <c r="J35" s="5">
        <v>0</v>
      </c>
      <c r="K35" s="8">
        <f t="shared" si="4"/>
        <v>0</v>
      </c>
      <c r="L35" s="5">
        <v>0</v>
      </c>
      <c r="M35" s="8">
        <f t="shared" si="5"/>
        <v>0</v>
      </c>
    </row>
    <row r="36" spans="1:13">
      <c r="A36" s="12" t="s">
        <v>42</v>
      </c>
      <c r="B36" s="5">
        <v>0</v>
      </c>
      <c r="C36" s="8">
        <f t="shared" si="0"/>
        <v>0</v>
      </c>
      <c r="D36" s="5">
        <v>849</v>
      </c>
      <c r="E36" s="8">
        <f t="shared" si="1"/>
        <v>5.2313082398958426E-2</v>
      </c>
      <c r="F36" s="5">
        <v>12283</v>
      </c>
      <c r="G36" s="8">
        <f t="shared" si="2"/>
        <v>1.4489522434400199</v>
      </c>
      <c r="H36" s="5">
        <v>0</v>
      </c>
      <c r="I36" s="8">
        <f t="shared" si="3"/>
        <v>0</v>
      </c>
      <c r="J36" s="5">
        <v>0</v>
      </c>
      <c r="K36" s="8">
        <f t="shared" si="4"/>
        <v>0</v>
      </c>
      <c r="L36" s="5">
        <v>0</v>
      </c>
      <c r="M36" s="8">
        <f t="shared" si="5"/>
        <v>0</v>
      </c>
    </row>
    <row r="37" spans="1:13">
      <c r="A37" s="6" t="s">
        <v>8</v>
      </c>
      <c r="B37" s="7">
        <f>SUM(B2:B36)</f>
        <v>129960600</v>
      </c>
      <c r="C37" s="7">
        <f>SUM(C2:C36)</f>
        <v>99.999999999999986</v>
      </c>
      <c r="D37" s="7">
        <f>SUM(D2:D36)</f>
        <v>1622921</v>
      </c>
      <c r="E37" s="9">
        <v>100</v>
      </c>
      <c r="F37" s="7">
        <f>SUM(F2:F36)</f>
        <v>847716</v>
      </c>
      <c r="G37" s="9">
        <v>100</v>
      </c>
      <c r="H37" s="7">
        <f>SUM(H2:H36)</f>
        <v>25041</v>
      </c>
      <c r="I37" s="9">
        <v>100</v>
      </c>
      <c r="J37" s="7">
        <f>SUM(J2:J36)</f>
        <v>678</v>
      </c>
      <c r="K37" s="11">
        <v>100</v>
      </c>
      <c r="L37" s="7">
        <f>SUM(L2:L36)</f>
        <v>59422496</v>
      </c>
      <c r="M37" s="9">
        <v>100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AdminSALUD</cp:lastModifiedBy>
  <dcterms:created xsi:type="dcterms:W3CDTF">2019-02-28T17:24:46Z</dcterms:created>
  <dcterms:modified xsi:type="dcterms:W3CDTF">2024-03-15T22:58:33Z</dcterms:modified>
</cp:coreProperties>
</file>